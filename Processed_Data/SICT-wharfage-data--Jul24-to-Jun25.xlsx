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cobsengineering.sharepoint.com/sites/CPW3Y14200/Shared Documents/110_Sand_Island/40_Tasks/01_Pier_Profile/Processed_Data/"/>
    </mc:Choice>
  </mc:AlternateContent>
  <xr:revisionPtr revIDLastSave="83" documentId="8_{338BA988-4F78-4D39-BB6E-5104A28DD812}" xr6:coauthVersionLast="47" xr6:coauthVersionMax="47" xr10:uidLastSave="{FB69CD8A-3D1F-4CC7-8DF8-EC08C5D83988}"/>
  <bookViews>
    <workbookView xWindow="57495" yWindow="0" windowWidth="29010" windowHeight="16305" activeTab="2" xr2:uid="{93E1F20C-282B-4F79-98B8-584A2121AF1F}"/>
  </bookViews>
  <sheets>
    <sheet name="shipment_summary" sheetId="4" r:id="rId1"/>
    <sheet name="shipment_per_operator" sheetId="5" r:id="rId2"/>
    <sheet name="shipment_data" sheetId="1" r:id="rId3"/>
  </sheets>
  <definedNames>
    <definedName name="_xlnm._FilterDatabase" localSheetId="2" hidden="1">shipment_data!$A$1:$I$15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F15" i="1"/>
  <c r="G15" i="1"/>
  <c r="I15" i="1"/>
</calcChain>
</file>

<file path=xl/sharedStrings.xml><?xml version="1.0" encoding="utf-8"?>
<sst xmlns="http://schemas.openxmlformats.org/spreadsheetml/2006/main" count="91" uniqueCount="35">
  <si>
    <t>Company</t>
  </si>
  <si>
    <t>Direction</t>
  </si>
  <si>
    <t>Description</t>
  </si>
  <si>
    <t>MATSON NAVIGATION COMPANY INC.</t>
  </si>
  <si>
    <t>IN</t>
  </si>
  <si>
    <t>60-01 Automobile in container or frame each</t>
  </si>
  <si>
    <t>60-19 Explosives ton</t>
  </si>
  <si>
    <t>60-22 General Merchandise (NOS) ton</t>
  </si>
  <si>
    <t>60-44 Vehicles ton</t>
  </si>
  <si>
    <t>60-73 Shipping Device Loaded 45ft. each</t>
  </si>
  <si>
    <t>60-74 Shipping Device Loaded 40ft. each</t>
  </si>
  <si>
    <t>60-77 Shipping Device Loaded 20ft. each</t>
  </si>
  <si>
    <t>PASHA HAWAII TRANSPORT LINES LLC</t>
  </si>
  <si>
    <t>WALDRON NORTON LILLY INTERNATIONAL LLC</t>
  </si>
  <si>
    <t>Quantity Reported</t>
  </si>
  <si>
    <t>SHORT TON</t>
  </si>
  <si>
    <t>TEU
CALCULATED</t>
  </si>
  <si>
    <t>AMOUNT REMITTED -
FOR QUANTITIES
REPORTED</t>
  </si>
  <si>
    <t>Ton</t>
  </si>
  <si>
    <t>Type</t>
  </si>
  <si>
    <t xml:space="preserve">Vehicles Containerized </t>
  </si>
  <si>
    <t>Vehicles Non Containerized</t>
  </si>
  <si>
    <t>Cargo Non Containerized</t>
  </si>
  <si>
    <t>Cargo Containerized</t>
  </si>
  <si>
    <t>Total</t>
  </si>
  <si>
    <t>SICT-Type</t>
  </si>
  <si>
    <t>Containerized</t>
  </si>
  <si>
    <t>Yes</t>
  </si>
  <si>
    <t>No</t>
  </si>
  <si>
    <t>Vehicles</t>
  </si>
  <si>
    <t>Cargo Non Vehicles</t>
  </si>
  <si>
    <t>Row Labels</t>
  </si>
  <si>
    <t>Grand Total</t>
  </si>
  <si>
    <t>Sum of Ton</t>
  </si>
  <si>
    <t>Cargo Containerized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</si>
</sst>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10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th, Adithya" refreshedDate="46055.704977662041" createdVersion="8" refreshedVersion="8" minRefreshableVersion="3" recordCount="13" xr:uid="{3746A89E-1D14-4C77-BC50-F3FA6278480C}">
  <cacheSource type="worksheet">
    <worksheetSource ref="A1:G14" sheet="shipment_data"/>
  </cacheSource>
  <cacheFields count="7">
    <cacheField name="Company" numFmtId="0">
      <sharedItems count="3">
        <s v="MATSON NAVIGATION COMPANY INC."/>
        <s v="PASHA HAWAII TRANSPORT LINES LLC"/>
        <s v="WALDRON NORTON LILLY INTERNATIONAL LLC"/>
      </sharedItems>
    </cacheField>
    <cacheField name="Direction" numFmtId="0">
      <sharedItems/>
    </cacheField>
    <cacheField name="Description" numFmtId="0">
      <sharedItems/>
    </cacheField>
    <cacheField name="Type" numFmtId="0">
      <sharedItems count="4">
        <s v="Vehicles Containerized "/>
        <s v="Cargo Non Containerized"/>
        <s v="Vehicles Non Containerized"/>
        <s v="Cargo Containerized"/>
      </sharedItems>
    </cacheField>
    <cacheField name="Quantity Reported" numFmtId="0">
      <sharedItems containsSemiMixedTypes="0" containsString="0" containsNumber="1" containsInteger="1" minValue="61" maxValue="100026"/>
    </cacheField>
    <cacheField name="SHORT TON" numFmtId="0">
      <sharedItems containsSemiMixedTypes="0" containsString="0" containsNumber="1" minValue="1342" maxValue="1970474"/>
    </cacheField>
    <cacheField name="Ton" numFmtId="0">
      <sharedItems containsSemiMixedTypes="0" containsString="0" containsNumber="1" minValue="1217.44227" maxValue="1787584.45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IN"/>
    <s v="60-01 Automobile in container or frame each"/>
    <x v="0"/>
    <n v="19977"/>
    <n v="29965.5"/>
    <n v="27184.2521175"/>
  </r>
  <r>
    <x v="0"/>
    <s v="IN"/>
    <s v="60-19 Explosives ton"/>
    <x v="1"/>
    <n v="3990"/>
    <n v="3990"/>
    <n v="3619.66815"/>
  </r>
  <r>
    <x v="0"/>
    <s v="IN"/>
    <s v="60-22 General Merchandise (NOS) ton"/>
    <x v="1"/>
    <n v="4972"/>
    <n v="4972"/>
    <n v="4510.5238200000003"/>
  </r>
  <r>
    <x v="0"/>
    <s v="IN"/>
    <s v="60-44 Vehicles ton"/>
    <x v="2"/>
    <n v="100026"/>
    <n v="100026"/>
    <n v="90742.086810000008"/>
  </r>
  <r>
    <x v="0"/>
    <s v="IN"/>
    <s v="60-73 Shipping Device Loaded 45ft. each"/>
    <x v="3"/>
    <n v="25451"/>
    <n v="559922"/>
    <n v="507952.83957000001"/>
  </r>
  <r>
    <x v="0"/>
    <s v="IN"/>
    <s v="60-74 Shipping Device Loaded 40ft. each"/>
    <x v="3"/>
    <n v="89567"/>
    <n v="1970474"/>
    <n v="1787584.45569"/>
  </r>
  <r>
    <x v="0"/>
    <s v="IN"/>
    <s v="60-77 Shipping Device Loaded 20ft. each"/>
    <x v="3"/>
    <n v="5214"/>
    <n v="62568"/>
    <n v="56760.751080000002"/>
  </r>
  <r>
    <x v="1"/>
    <s v="IN"/>
    <s v="60-73 Shipping Device Loaded 45ft. each"/>
    <x v="3"/>
    <n v="25704"/>
    <n v="565488"/>
    <n v="513002.23128000001"/>
  </r>
  <r>
    <x v="1"/>
    <s v="IN"/>
    <s v="60-74 Shipping Device Loaded 40ft. each"/>
    <x v="3"/>
    <n v="48417"/>
    <n v="1065174"/>
    <n v="966309.87519000005"/>
  </r>
  <r>
    <x v="1"/>
    <s v="IN"/>
    <s v="60-77 Shipping Device Loaded 20ft. each"/>
    <x v="3"/>
    <n v="2502"/>
    <n v="30024"/>
    <n v="27237.32244"/>
  </r>
  <r>
    <x v="2"/>
    <s v="IN"/>
    <s v="60-73 Shipping Device Loaded 45ft. each"/>
    <x v="3"/>
    <n v="61"/>
    <n v="1342"/>
    <n v="1217.44227"/>
  </r>
  <r>
    <x v="2"/>
    <s v="IN"/>
    <s v="60-74 Shipping Device Loaded 40ft. each"/>
    <x v="3"/>
    <n v="4071"/>
    <n v="89562"/>
    <n v="81249.302970000004"/>
  </r>
  <r>
    <x v="2"/>
    <s v="IN"/>
    <s v="60-77 Shipping Device Loaded 20ft. each"/>
    <x v="3"/>
    <n v="1549"/>
    <n v="18588"/>
    <n v="16862.75477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BEE8F-9C3B-4665-9316-EF68ADE234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</pivotFields>
  <rowFields count="2">
    <field x="0"/>
    <field x="3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>
      <x v="2"/>
    </i>
    <i r="1">
      <x/>
    </i>
    <i t="grand">
      <x/>
    </i>
  </rowItems>
  <colItems count="1">
    <i/>
  </colItems>
  <dataFields count="1">
    <dataField name="Sum of To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1E09-CDCF-4582-94DC-6B1215B8BF2D}">
  <dimension ref="A1:C6"/>
  <sheetViews>
    <sheetView workbookViewId="0">
      <selection activeCell="E14" sqref="E14"/>
    </sheetView>
  </sheetViews>
  <sheetFormatPr defaultRowHeight="15" x14ac:dyDescent="0.25"/>
  <cols>
    <col min="1" max="1" width="25.7109375" bestFit="1" customWidth="1"/>
    <col min="2" max="2" width="25.7109375" customWidth="1"/>
    <col min="3" max="3" width="13.28515625" bestFit="1" customWidth="1"/>
  </cols>
  <sheetData>
    <row r="1" spans="1:3" x14ac:dyDescent="0.25">
      <c r="A1" t="s">
        <v>25</v>
      </c>
      <c r="B1" t="s">
        <v>26</v>
      </c>
      <c r="C1" t="s">
        <v>18</v>
      </c>
    </row>
    <row r="2" spans="1:3" x14ac:dyDescent="0.25">
      <c r="A2" t="s">
        <v>30</v>
      </c>
      <c r="B2" t="s">
        <v>27</v>
      </c>
      <c r="C2" s="3">
        <v>3958176.9752699998</v>
      </c>
    </row>
    <row r="3" spans="1:3" x14ac:dyDescent="0.25">
      <c r="A3" t="s">
        <v>30</v>
      </c>
      <c r="B3" t="s">
        <v>28</v>
      </c>
      <c r="C3" s="3">
        <v>8130.1919699999999</v>
      </c>
    </row>
    <row r="4" spans="1:3" x14ac:dyDescent="0.25">
      <c r="A4" t="s">
        <v>29</v>
      </c>
      <c r="B4" t="s">
        <v>28</v>
      </c>
      <c r="C4" s="3">
        <v>90742.086810000008</v>
      </c>
    </row>
    <row r="5" spans="1:3" x14ac:dyDescent="0.25">
      <c r="A5" t="s">
        <v>29</v>
      </c>
      <c r="B5" t="s">
        <v>27</v>
      </c>
      <c r="C5" s="3">
        <v>27184.2521175</v>
      </c>
    </row>
    <row r="6" spans="1:3" x14ac:dyDescent="0.25">
      <c r="A6" t="s">
        <v>24</v>
      </c>
      <c r="C6" s="2">
        <v>4084233.5061674998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02AD-504C-4EF3-A27C-40D196B31994}">
  <dimension ref="A3:B26"/>
  <sheetViews>
    <sheetView workbookViewId="0">
      <selection activeCell="C25" sqref="C25"/>
    </sheetView>
  </sheetViews>
  <sheetFormatPr defaultRowHeight="15" x14ac:dyDescent="0.25"/>
  <cols>
    <col min="1" max="1" width="46" bestFit="1" customWidth="1"/>
    <col min="2" max="2" width="23.85546875" bestFit="1" customWidth="1"/>
    <col min="3" max="3" width="12" bestFit="1" customWidth="1"/>
  </cols>
  <sheetData>
    <row r="3" spans="1:2" x14ac:dyDescent="0.25">
      <c r="A3" s="4" t="s">
        <v>31</v>
      </c>
      <c r="B3" t="s">
        <v>33</v>
      </c>
    </row>
    <row r="4" spans="1:2" x14ac:dyDescent="0.25">
      <c r="A4" s="5" t="s">
        <v>3</v>
      </c>
      <c r="B4" s="7">
        <v>2478354.5772374999</v>
      </c>
    </row>
    <row r="5" spans="1:2" x14ac:dyDescent="0.25">
      <c r="A5" s="6" t="s">
        <v>23</v>
      </c>
      <c r="B5" s="7">
        <v>2352298.0463399999</v>
      </c>
    </row>
    <row r="6" spans="1:2" x14ac:dyDescent="0.25">
      <c r="A6" s="6" t="s">
        <v>22</v>
      </c>
      <c r="B6" s="7">
        <v>8130.1919699999999</v>
      </c>
    </row>
    <row r="7" spans="1:2" x14ac:dyDescent="0.25">
      <c r="A7" s="6" t="s">
        <v>20</v>
      </c>
      <c r="B7" s="7">
        <v>27184.2521175</v>
      </c>
    </row>
    <row r="8" spans="1:2" x14ac:dyDescent="0.25">
      <c r="A8" s="6" t="s">
        <v>21</v>
      </c>
      <c r="B8" s="7">
        <v>90742.086810000008</v>
      </c>
    </row>
    <row r="9" spans="1:2" x14ac:dyDescent="0.25">
      <c r="A9" s="5" t="s">
        <v>12</v>
      </c>
      <c r="B9" s="7">
        <v>1506549.42891</v>
      </c>
    </row>
    <row r="10" spans="1:2" x14ac:dyDescent="0.25">
      <c r="A10" s="6" t="s">
        <v>23</v>
      </c>
      <c r="B10" s="7">
        <v>1506549.42891</v>
      </c>
    </row>
    <row r="11" spans="1:2" x14ac:dyDescent="0.25">
      <c r="A11" s="5" t="s">
        <v>13</v>
      </c>
      <c r="B11" s="7">
        <v>99329.500020000007</v>
      </c>
    </row>
    <row r="12" spans="1:2" x14ac:dyDescent="0.25">
      <c r="A12" s="6" t="s">
        <v>23</v>
      </c>
      <c r="B12" s="7">
        <v>99329.500020000007</v>
      </c>
    </row>
    <row r="13" spans="1:2" x14ac:dyDescent="0.25">
      <c r="A13" s="5" t="s">
        <v>32</v>
      </c>
      <c r="B13" s="7">
        <v>4084233.5061675003</v>
      </c>
    </row>
    <row r="22" spans="1:2" x14ac:dyDescent="0.25">
      <c r="A22" s="8" t="s">
        <v>23</v>
      </c>
      <c r="B22" s="8" t="s">
        <v>34</v>
      </c>
    </row>
    <row r="23" spans="1:2" x14ac:dyDescent="0.25">
      <c r="A23" s="8" t="s">
        <v>3</v>
      </c>
      <c r="B23" s="8">
        <v>2352298.0463399999</v>
      </c>
    </row>
    <row r="24" spans="1:2" x14ac:dyDescent="0.25">
      <c r="A24" s="8" t="s">
        <v>12</v>
      </c>
      <c r="B24" s="8">
        <v>1506549.42891</v>
      </c>
    </row>
    <row r="25" spans="1:2" x14ac:dyDescent="0.25">
      <c r="A25" s="8" t="s">
        <v>13</v>
      </c>
      <c r="B25" s="8">
        <v>99329.500020000007</v>
      </c>
    </row>
    <row r="26" spans="1:2" x14ac:dyDescent="0.25">
      <c r="A26" s="8" t="s">
        <v>32</v>
      </c>
      <c r="B26" s="8">
        <f>SUM(B23:B25)</f>
        <v>3958176.9752700003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EF90-905A-484B-8171-9A32B2BE5CF7}">
  <dimension ref="A1:I15"/>
  <sheetViews>
    <sheetView tabSelected="1" workbookViewId="0">
      <selection activeCell="C3" sqref="C3"/>
    </sheetView>
  </sheetViews>
  <sheetFormatPr defaultRowHeight="15" x14ac:dyDescent="0.25"/>
  <cols>
    <col min="1" max="1" width="41.7109375" bestFit="1" customWidth="1"/>
    <col min="2" max="2" width="9" bestFit="1" customWidth="1"/>
    <col min="3" max="3" width="40.85546875" bestFit="1" customWidth="1"/>
    <col min="4" max="4" width="40.85546875" customWidth="1"/>
    <col min="5" max="5" width="16.42578125" bestFit="1" customWidth="1"/>
    <col min="6" max="6" width="13.42578125" bestFit="1" customWidth="1"/>
    <col min="7" max="7" width="13.28515625" bestFit="1" customWidth="1"/>
    <col min="8" max="8" width="9.7109375" bestFit="1" customWidth="1"/>
    <col min="9" max="9" width="19.5703125" customWidth="1"/>
  </cols>
  <sheetData>
    <row r="1" spans="1:9" ht="45" x14ac:dyDescent="0.25">
      <c r="A1" t="s">
        <v>0</v>
      </c>
      <c r="B1" t="s">
        <v>1</v>
      </c>
      <c r="C1" t="s">
        <v>2</v>
      </c>
      <c r="D1" t="s">
        <v>19</v>
      </c>
      <c r="E1" t="s">
        <v>14</v>
      </c>
      <c r="F1" t="s">
        <v>15</v>
      </c>
      <c r="G1" t="s">
        <v>18</v>
      </c>
      <c r="H1" s="1" t="s">
        <v>16</v>
      </c>
      <c r="I1" s="1" t="s">
        <v>17</v>
      </c>
    </row>
    <row r="2" spans="1:9" x14ac:dyDescent="0.25">
      <c r="A2" t="s">
        <v>3</v>
      </c>
      <c r="B2" t="s">
        <v>4</v>
      </c>
      <c r="C2" t="s">
        <v>5</v>
      </c>
      <c r="D2" t="s">
        <v>20</v>
      </c>
      <c r="E2">
        <v>19977</v>
      </c>
      <c r="F2">
        <v>29965.5</v>
      </c>
      <c r="G2">
        <v>27184.2521175</v>
      </c>
      <c r="H2">
        <v>13318</v>
      </c>
      <c r="I2">
        <v>1350944.04</v>
      </c>
    </row>
    <row r="3" spans="1:9" x14ac:dyDescent="0.25">
      <c r="A3" t="s">
        <v>3</v>
      </c>
      <c r="B3" t="s">
        <v>4</v>
      </c>
      <c r="C3" t="s">
        <v>6</v>
      </c>
      <c r="D3" t="s">
        <v>22</v>
      </c>
      <c r="E3">
        <v>3990</v>
      </c>
      <c r="F3">
        <v>3990</v>
      </c>
      <c r="G3">
        <v>3619.66815</v>
      </c>
      <c r="I3">
        <v>244102.95</v>
      </c>
    </row>
    <row r="4" spans="1:9" x14ac:dyDescent="0.25">
      <c r="A4" t="s">
        <v>3</v>
      </c>
      <c r="B4" t="s">
        <v>4</v>
      </c>
      <c r="C4" t="s">
        <v>7</v>
      </c>
      <c r="D4" t="s">
        <v>22</v>
      </c>
      <c r="E4">
        <v>4972</v>
      </c>
      <c r="F4">
        <v>4972</v>
      </c>
      <c r="G4">
        <v>4510.5238200000003</v>
      </c>
      <c r="I4">
        <v>40627.160000000003</v>
      </c>
    </row>
    <row r="5" spans="1:9" x14ac:dyDescent="0.25">
      <c r="A5" t="s">
        <v>3</v>
      </c>
      <c r="B5" t="s">
        <v>4</v>
      </c>
      <c r="C5" t="s">
        <v>8</v>
      </c>
      <c r="D5" t="s">
        <v>21</v>
      </c>
      <c r="E5">
        <v>100026</v>
      </c>
      <c r="F5">
        <v>100026</v>
      </c>
      <c r="G5">
        <v>90742.086810000008</v>
      </c>
      <c r="I5">
        <v>771154.5</v>
      </c>
    </row>
    <row r="6" spans="1:9" x14ac:dyDescent="0.25">
      <c r="A6" t="s">
        <v>3</v>
      </c>
      <c r="B6" t="s">
        <v>4</v>
      </c>
      <c r="C6" t="s">
        <v>9</v>
      </c>
      <c r="D6" t="s">
        <v>23</v>
      </c>
      <c r="E6">
        <v>25451</v>
      </c>
      <c r="F6">
        <v>559922</v>
      </c>
      <c r="G6">
        <v>507952.83957000001</v>
      </c>
      <c r="H6">
        <v>57264.75</v>
      </c>
      <c r="I6">
        <v>8864665.2699999996</v>
      </c>
    </row>
    <row r="7" spans="1:9" x14ac:dyDescent="0.25">
      <c r="A7" t="s">
        <v>3</v>
      </c>
      <c r="B7" t="s">
        <v>4</v>
      </c>
      <c r="C7" t="s">
        <v>10</v>
      </c>
      <c r="D7" t="s">
        <v>23</v>
      </c>
      <c r="E7">
        <v>89567</v>
      </c>
      <c r="F7">
        <v>1970474</v>
      </c>
      <c r="G7">
        <v>1787584.45569</v>
      </c>
      <c r="H7">
        <v>179134</v>
      </c>
      <c r="I7">
        <v>31196064.030000001</v>
      </c>
    </row>
    <row r="8" spans="1:9" x14ac:dyDescent="0.25">
      <c r="A8" t="s">
        <v>3</v>
      </c>
      <c r="B8" t="s">
        <v>4</v>
      </c>
      <c r="C8" t="s">
        <v>11</v>
      </c>
      <c r="D8" t="s">
        <v>23</v>
      </c>
      <c r="E8">
        <v>5214</v>
      </c>
      <c r="F8">
        <v>62568</v>
      </c>
      <c r="G8">
        <v>56760.751080000002</v>
      </c>
      <c r="H8">
        <v>5214</v>
      </c>
      <c r="I8">
        <v>907612.36</v>
      </c>
    </row>
    <row r="9" spans="1:9" x14ac:dyDescent="0.25">
      <c r="A9" t="s">
        <v>12</v>
      </c>
      <c r="B9" t="s">
        <v>4</v>
      </c>
      <c r="C9" t="s">
        <v>9</v>
      </c>
      <c r="D9" t="s">
        <v>23</v>
      </c>
      <c r="E9">
        <v>25704</v>
      </c>
      <c r="F9">
        <v>565488</v>
      </c>
      <c r="G9">
        <v>513002.23128000001</v>
      </c>
      <c r="H9">
        <v>57834</v>
      </c>
      <c r="I9">
        <v>8939801.6799999997</v>
      </c>
    </row>
    <row r="10" spans="1:9" x14ac:dyDescent="0.25">
      <c r="A10" t="s">
        <v>12</v>
      </c>
      <c r="B10" t="s">
        <v>4</v>
      </c>
      <c r="C10" t="s">
        <v>10</v>
      </c>
      <c r="D10" t="s">
        <v>23</v>
      </c>
      <c r="E10">
        <v>48417</v>
      </c>
      <c r="F10">
        <v>1065174</v>
      </c>
      <c r="G10">
        <v>966309.87519000005</v>
      </c>
      <c r="H10">
        <v>96834</v>
      </c>
      <c r="I10">
        <v>16842678.690000001</v>
      </c>
    </row>
    <row r="11" spans="1:9" x14ac:dyDescent="0.25">
      <c r="A11" t="s">
        <v>12</v>
      </c>
      <c r="B11" t="s">
        <v>4</v>
      </c>
      <c r="C11" t="s">
        <v>11</v>
      </c>
      <c r="D11" t="s">
        <v>23</v>
      </c>
      <c r="E11">
        <v>2502</v>
      </c>
      <c r="F11">
        <v>30024</v>
      </c>
      <c r="G11">
        <v>27237.32244</v>
      </c>
      <c r="H11">
        <v>2502</v>
      </c>
      <c r="I11">
        <v>435046.12</v>
      </c>
    </row>
    <row r="12" spans="1:9" x14ac:dyDescent="0.25">
      <c r="A12" t="s">
        <v>13</v>
      </c>
      <c r="B12" t="s">
        <v>4</v>
      </c>
      <c r="C12" t="s">
        <v>9</v>
      </c>
      <c r="D12" t="s">
        <v>23</v>
      </c>
      <c r="E12">
        <v>61</v>
      </c>
      <c r="F12">
        <v>1342</v>
      </c>
      <c r="G12">
        <v>1217.44227</v>
      </c>
      <c r="H12">
        <v>137.25</v>
      </c>
      <c r="I12">
        <v>21064.73</v>
      </c>
    </row>
    <row r="13" spans="1:9" x14ac:dyDescent="0.25">
      <c r="A13" t="s">
        <v>13</v>
      </c>
      <c r="B13" t="s">
        <v>4</v>
      </c>
      <c r="C13" t="s">
        <v>10</v>
      </c>
      <c r="D13" t="s">
        <v>23</v>
      </c>
      <c r="E13">
        <v>4071</v>
      </c>
      <c r="F13">
        <v>89562</v>
      </c>
      <c r="G13">
        <v>81249.302970000004</v>
      </c>
      <c r="H13">
        <v>8142</v>
      </c>
      <c r="I13">
        <v>1415940.59</v>
      </c>
    </row>
    <row r="14" spans="1:9" x14ac:dyDescent="0.25">
      <c r="A14" t="s">
        <v>13</v>
      </c>
      <c r="B14" t="s">
        <v>4</v>
      </c>
      <c r="C14" t="s">
        <v>11</v>
      </c>
      <c r="D14" t="s">
        <v>23</v>
      </c>
      <c r="E14">
        <v>1549</v>
      </c>
      <c r="F14">
        <v>18588</v>
      </c>
      <c r="G14">
        <v>16862.754779999999</v>
      </c>
      <c r="H14">
        <v>1549</v>
      </c>
      <c r="I14">
        <v>269495.09999999998</v>
      </c>
    </row>
    <row r="15" spans="1:9" x14ac:dyDescent="0.25">
      <c r="F15" s="2">
        <f>SUM(F2:F14)</f>
        <v>4502095.5</v>
      </c>
      <c r="G15" s="2">
        <f>SUM(G2:G14)</f>
        <v>4084233.5061674998</v>
      </c>
      <c r="I15" s="2">
        <f>SUM(I2:I14)</f>
        <v>71299197.220000014</v>
      </c>
    </row>
  </sheetData>
  <autoFilter ref="A1:I15" xr:uid="{67BCEF90-905A-484B-8171-9A32B2BE5CF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7e72e9-120e-45d5-9889-8d37e29b3dd6">
      <Terms xmlns="http://schemas.microsoft.com/office/infopath/2007/PartnerControls"/>
    </lcf76f155ced4ddcb4097134ff3c332f>
    <TaxCatchAll xmlns="e42a5a03-ecb2-4e90-b85d-3c6d1ed18e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2F4873F6046468AF8C91A4499B81D" ma:contentTypeVersion="15" ma:contentTypeDescription="Create a new document." ma:contentTypeScope="" ma:versionID="b608ef4c08beeee82ee1b54ced4c23d8">
  <xsd:schema xmlns:xsd="http://www.w3.org/2001/XMLSchema" xmlns:xs="http://www.w3.org/2001/XMLSchema" xmlns:p="http://schemas.microsoft.com/office/2006/metadata/properties" xmlns:ns2="f17e72e9-120e-45d5-9889-8d37e29b3dd6" xmlns:ns3="e42a5a03-ecb2-4e90-b85d-3c6d1ed18e54" targetNamespace="http://schemas.microsoft.com/office/2006/metadata/properties" ma:root="true" ma:fieldsID="6e6e7373d1defed4123a18fcf8212d90" ns2:_="" ns3:_="">
    <xsd:import namespace="f17e72e9-120e-45d5-9889-8d37e29b3dd6"/>
    <xsd:import namespace="e42a5a03-ecb2-4e90-b85d-3c6d1ed18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e72e9-120e-45d5-9889-8d37e29b3d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a5a03-ecb2-4e90-b85d-3c6d1ed18e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d2d88c8-9d8c-4693-99eb-55e65f8d915e}" ma:internalName="TaxCatchAll" ma:showField="CatchAllData" ma:web="e42a5a03-ecb2-4e90-b85d-3c6d1ed18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0B206A-F2BC-4022-AEAC-A8B757627822}">
  <ds:schemaRefs>
    <ds:schemaRef ds:uri="http://schemas.microsoft.com/office/2006/metadata/properties"/>
    <ds:schemaRef ds:uri="http://schemas.microsoft.com/office/infopath/2007/PartnerControls"/>
    <ds:schemaRef ds:uri="f17e72e9-120e-45d5-9889-8d37e29b3dd6"/>
    <ds:schemaRef ds:uri="e42a5a03-ecb2-4e90-b85d-3c6d1ed18e54"/>
  </ds:schemaRefs>
</ds:datastoreItem>
</file>

<file path=customXml/itemProps2.xml><?xml version="1.0" encoding="utf-8"?>
<ds:datastoreItem xmlns:ds="http://schemas.openxmlformats.org/officeDocument/2006/customXml" ds:itemID="{FF48FCBD-A3EE-4E11-ADE3-63D8ED35F6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33629F-E883-4B55-A60C-9B7A81084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7e72e9-120e-45d5-9889-8d37e29b3dd6"/>
    <ds:schemaRef ds:uri="e42a5a03-ecb2-4e90-b85d-3c6d1ed18e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shipment_summary</vt:lpstr>
      <vt:lpstr>shipment_per_operator</vt:lpstr>
      <vt:lpstr>shipment_data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Ajith, Adithya</cp:lastModifiedBy>
  <dcterms:created xsi:type="dcterms:W3CDTF">2026-02-02T21:00:57Z</dcterms:created>
  <dcterms:modified xsi:type="dcterms:W3CDTF">2026-02-03T22:14:28Z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2026-02-02T21:00:57Z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ba354fc4-68fb-43bf-bfe9-64390b8140f5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0x010100C952F4873F6046468AF8C91A4499B81D</vt:lpwstr>
  </property>
</Properties>
</file>